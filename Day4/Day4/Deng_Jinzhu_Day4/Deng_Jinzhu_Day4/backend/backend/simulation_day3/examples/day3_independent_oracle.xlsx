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_ME" sheetId="1" state="visible" r:id="rId3"/>
    <sheet name="ZERO_DEMAND_104_WEEKS" sheetId="2" state="visible" r:id="rId4"/>
    <sheet name="FOUR_TRIALS_INDEPEND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<sst xmlns="http://schemas.openxmlformats.org/spreadsheetml/2006/main" count="50" uniqueCount="49">
  <si>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CAUSORA DAY 3 — INDEPENDENT MICRO ORACLE</t>
  </si>
  <si>
    <t xml:space="preserve">Not generated from a simulator, nor evidence of review/approval.</t>
  </si>
  <si>
    <t xml:space="preserve">Case 1: four runs with demand [10,0,0,0] in week 1; all later demand zero. Opening 0, target 2, 1-week B lead. D2 purchases B=2 for each run.</t>
  </si>
  <si>
    <t xml:space="preserve">Case 2: all 104 weeks zero demand; target 1, opening 0, A minimum 15600, D1 fixed 15600 A + 10400 B, D2 B=1.</t>
  </si>
  <si>
    <t xml:space="preserve">Source classification: 60%, 14% and $25k are synthetic Supplier A clause inputs. 26,000 forecast / renewal lock / model policy are demo assumptions, NOT signed facts.</t>
  </si>
  <si>
    <t xml:space="preserve">Excel formulas use half-even USD rounding. P90 = ascending nearest rank ceil(0.9*N); event = any stockout in 104 weeks.</t>
  </si>
  <si>
    <t xml:space="preserve">Expected literal checks (entered by hand): zero D0=$213408, D1=$344448, D2=$25013; one-in-four D2 probability=0.25, P90=$25025, TCO=$25037.</t>
  </si>
  <si>
    <t xml:space="preserve">Case: no fulfilled demand; no holding/loss. All amounts USD; no real recommendation.</t>
  </si>
  <si>
    <t xml:space="preserve">D0 15,600 A minimum; D1 15,600 A/10,400 B; D2 buys 1 B and pays exit fee once.</t>
  </si>
  <si>
    <t xml:space="preserve">Fee applied only on D2 and locked renewal; renewal premium on base A price only.</t>
  </si>
  <si>
    <t xml:space="preserve">Option</t>
  </si>
  <si>
    <t xml:space="preserve">A units</t>
  </si>
  <si>
    <t xml:space="preserve">B units</t>
  </si>
  <si>
    <t xml:space="preserve">A base price</t>
  </si>
  <si>
    <t xml:space="preserve">B base price</t>
  </si>
  <si>
    <t xml:space="preserve">premium fraction</t>
  </si>
  <si>
    <t xml:space="preserve">exit fee</t>
  </si>
  <si>
    <t xml:space="preserve">base purchase</t>
  </si>
  <si>
    <t xml:space="preserve">renewal premium</t>
  </si>
  <si>
    <t xml:space="preserve">TCO</t>
  </si>
  <si>
    <t xml:space="preserve">literal expected TCO</t>
  </si>
  <si>
    <t xml:space="preserve">pass?</t>
  </si>
  <si>
    <t xml:space="preserve">D0</t>
  </si>
  <si>
    <t xml:space="preserve">D1</t>
  </si>
  <si>
    <t xml:space="preserve">D2</t>
  </si>
  <si>
    <t xml:space="preserve">D2: first-week demand [10,0,0,0], later demand zero; B order=2, lead=7 days; no holding. Scenario target 10 makes reorder point 1 &lt; stock target 2.</t>
  </si>
  <si>
    <t xml:space="preserve">Purchased base B units = 2; base cost = 2 × $12.6 = $25.2; rounded cash purchase = $25, termination fee = $25,000 once/trial.</t>
  </si>
  <si>
    <t xml:space="preserve">Independent expected results are literal cells below; engine values are not imported.</t>
  </si>
  <si>
    <t xml:space="preserve">trial</t>
  </si>
  <si>
    <t xml:space="preserve">week1 demand</t>
  </si>
  <si>
    <t xml:space="preserve">opening</t>
  </si>
  <si>
    <t xml:space="preserve">lost units</t>
  </si>
  <si>
    <t xml:space="preserve">stockout event</t>
  </si>
  <si>
    <t xml:space="preserve">B purchased</t>
  </si>
  <si>
    <t xml:space="preserve">base B price</t>
  </si>
  <si>
    <t xml:space="preserve">purchase raw</t>
  </si>
  <si>
    <t xml:space="preserve">purchase rounded</t>
  </si>
  <si>
    <t xml:space="preserve">cash rounded</t>
  </si>
  <si>
    <t xml:space="preserve">lost margin USD</t>
  </si>
  <si>
    <t xml:space="preserve">termination fee</t>
  </si>
  <si>
    <t xml:space="preserve">Metric</t>
  </si>
  <si>
    <t xml:space="preserve">formula value</t>
  </si>
  <si>
    <t xml:space="preserve">literal expected</t>
  </si>
  <si>
    <t xml:space="preserve">Stockout probability</t>
  </si>
  <si>
    <t xml:space="preserve">P90 nearest rank cash</t>
  </si>
  <si>
    <t xml:space="preserve">Mean stockout loss rounded half-even</t>
  </si>
  <si>
    <t xml:space="preserve">Purchase USD rounded from B=2</t>
  </si>
  <si>
    <t xml:space="preserve">Exit fee USD exactly once</t>
  </si>
  <si>
    <t xml:space="preserve">Expected TCO (five lines)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</si>
</sst>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2" customFormat="false" ht="34.5" hidden="false" customHeight="true" outlineLevel="0" collapsed="false">
      <c r="A2" s="2" t="s">
        <v>1</v>
      </c>
    </row>
    <row r="3" customFormat="false" ht="34.5" hidden="false" customHeight="true" outlineLevel="0" collapsed="false">
      <c r="A3" s="2" t="s">
        <v>2</v>
      </c>
    </row>
    <row r="4" customFormat="false" ht="34.5" hidden="false" customHeight="true" outlineLevel="0" collapsed="false">
      <c r="A4" s="2" t="s">
        <v>3</v>
      </c>
    </row>
    <row r="5" customFormat="false" ht="34.5" hidden="false" customHeight="true" outlineLevel="0" collapsed="false">
      <c r="A5" s="2" t="s">
        <v>4</v>
      </c>
    </row>
    <row r="6" customFormat="false" ht="34.5" hidden="false" customHeight="true" outlineLevel="0" collapsed="false">
      <c r="A6" s="2" t="s">
        <v>5</v>
      </c>
    </row>
    <row r="7" customFormat="false" ht="34.5" hidden="false" customHeight="tru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2" min="2" style="0" width="19"/>
  </cols>
  <sheetData>
    <row r="1" customFormat="false" ht="31.5" hidden="false" customHeight="true" outlineLevel="0" collapsed="false">
      <c r="A1" s="3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  <row r="4" customFormat="false" ht="1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</row>
    <row r="5" customFormat="false" ht="15" hidden="false" customHeight="false" outlineLevel="0" collapsed="false">
      <c r="A5" s="0" t="s">
        <v>22</v>
      </c>
      <c r="B5" s="0" t="n">
        <v>15600</v>
      </c>
      <c r="C5" s="0" t="n">
        <v>0</v>
      </c>
      <c r="D5" s="0" t="n">
        <v>12</v>
      </c>
      <c r="E5" s="0" t="n">
        <v>12.6</v>
      </c>
      <c r="F5" s="0" t="n">
        <v>0.14</v>
      </c>
      <c r="G5" s="0" t="n">
        <v>0</v>
      </c>
      <c r="H5" s="0" t="n">
        <f aca="false">IF(MOD(B5*D5+C5*E5,1)=0.5,IF(MOD(INT(B5*D5+C5*E5),2)=0,INT(B5*D5+C5*E5),INT(B5*D5+C5*E5)+1),ROUND(B5*D5+C5*E5,0))</f>
        <v>187200</v>
      </c>
      <c r="I5" s="0" t="n">
        <f aca="false">IF(MOD(B5*D5*F5,1)=0.5,IF(MOD(INT(B5*D5*F5),2)=0,INT(B5*D5*F5),INT(B5*D5*F5)+1),ROUND(B5*D5*F5,0))</f>
        <v>26208</v>
      </c>
      <c r="J5" s="0" t="n">
        <f aca="false">H5+I5+G5</f>
        <v>213408</v>
      </c>
      <c r="K5" s="0" t="n">
        <v>213408</v>
      </c>
      <c r="L5" s="0" t="str">
        <f aca="false">IF(J5=K5,"PASS","FAIL")</f>
        <v>PASS</v>
      </c>
    </row>
    <row r="6" customFormat="false" ht="15" hidden="false" customHeight="false" outlineLevel="0" collapsed="false">
      <c r="A6" s="0" t="s">
        <v>23</v>
      </c>
      <c r="B6" s="0" t="n">
        <v>15600</v>
      </c>
      <c r="C6" s="0" t="n">
        <v>10400</v>
      </c>
      <c r="D6" s="0" t="n">
        <v>12</v>
      </c>
      <c r="E6" s="0" t="n">
        <v>12.6</v>
      </c>
      <c r="F6" s="0" t="n">
        <v>0.14</v>
      </c>
      <c r="G6" s="0" t="n">
        <v>0</v>
      </c>
      <c r="H6" s="0" t="n">
        <f aca="false">IF(MOD(B6*D6+C6*E6,1)=0.5,IF(MOD(INT(B6*D6+C6*E6),2)=0,INT(B6*D6+C6*E6),INT(B6*D6+C6*E6)+1),ROUND(B6*D6+C6*E6,0))</f>
        <v>318240</v>
      </c>
      <c r="I6" s="0" t="n">
        <f aca="false">IF(MOD(B6*D6*F6,1)=0.5,IF(MOD(INT(B6*D6*F6),2)=0,INT(B6*D6*F6),INT(B6*D6*F6)+1),ROUND(B6*D6*F6,0))</f>
        <v>26208</v>
      </c>
      <c r="J6" s="0" t="n">
        <f aca="false">H6+I6+G6</f>
        <v>344448</v>
      </c>
      <c r="K6" s="0" t="n">
        <v>344448</v>
      </c>
      <c r="L6" s="0" t="str">
        <f aca="false">IF(J6=K6,"PASS","FAIL")</f>
        <v>PASS</v>
      </c>
    </row>
    <row r="7" customFormat="false" ht="15" hidden="false" customHeight="false" outlineLevel="0" collapsed="false">
      <c r="A7" s="0" t="s">
        <v>24</v>
      </c>
      <c r="B7" s="0" t="n">
        <v>0</v>
      </c>
      <c r="C7" s="0" t="n">
        <v>1</v>
      </c>
      <c r="D7" s="0" t="n">
        <v>12</v>
      </c>
      <c r="E7" s="0" t="n">
        <v>12.6</v>
      </c>
      <c r="F7" s="0" t="n">
        <v>0.14</v>
      </c>
      <c r="G7" s="0" t="n">
        <v>25000</v>
      </c>
      <c r="H7" s="0" t="n">
        <f aca="false">IF(MOD(B7*D7+C7*E7,1)=0.5,IF(MOD(INT(B7*D7+C7*E7),2)=0,INT(B7*D7+C7*E7),INT(B7*D7+C7*E7)+1),ROUND(B7*D7+C7*E7,0))</f>
        <v>13</v>
      </c>
      <c r="I7" s="0" t="n">
        <f aca="false">IF(MOD(B7*D7*F7,1)=0.5,IF(MOD(INT(B7*D7*F7),2)=0,INT(B7*D7*F7),INT(B7*D7*F7)+1),ROUND(B7*D7*F7,0))</f>
        <v>0</v>
      </c>
      <c r="J7" s="0" t="n">
        <f aca="false">H7+I7+G7</f>
        <v>25013</v>
      </c>
      <c r="K7" s="0" t="n">
        <v>25013</v>
      </c>
      <c r="L7" s="0" t="str">
        <f aca="false">IF(J7=K7,"PASS","FAIL")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2" min="2" style="0" width="19"/>
  </cols>
  <sheetData>
    <row r="1" customFormat="false" ht="31.5" hidden="false" customHeight="true" outlineLevel="0" collapsed="false">
      <c r="A1" s="3" t="s">
        <v>25</v>
      </c>
    </row>
    <row r="2" customFormat="false" ht="15" hidden="false" customHeight="false" outlineLevel="0" collapsed="false">
      <c r="A2" s="0" t="s">
        <v>26</v>
      </c>
    </row>
    <row r="3" customFormat="false" ht="15" hidden="false" customHeight="false" outlineLevel="0" collapsed="false">
      <c r="A3" s="0" t="s">
        <v>27</v>
      </c>
    </row>
    <row r="4" customFormat="false" ht="15" hidden="false" customHeight="false" outlineLevel="0" collapsed="false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</row>
    <row r="5" customFormat="false" ht="15" hidden="false" customHeight="false" outlineLevel="0" collapsed="false">
      <c r="A5" s="0" t="n">
        <v>1</v>
      </c>
      <c r="B5" s="0" t="n">
        <v>10</v>
      </c>
      <c r="C5" s="0" t="n">
        <v>0</v>
      </c>
      <c r="D5" s="0" t="n">
        <f aca="false">MAX(0,B5-C5)</f>
        <v>10</v>
      </c>
      <c r="E5" s="0" t="n">
        <f aca="false">IF(D5&gt;0,1,0)</f>
        <v>1</v>
      </c>
      <c r="F5" s="0" t="n">
        <v>2</v>
      </c>
      <c r="G5" s="0" t="n">
        <v>12.6</v>
      </c>
      <c r="H5" s="0" t="n">
        <f aca="false">F5*G5</f>
        <v>25.2</v>
      </c>
      <c r="I5" s="0" t="n">
        <f aca="false">IF(MOD(H5,1)=0.5,IF(MOD(INT(H5),2)=0,INT(H5),INT(H5)+1),ROUND(H5,0))</f>
        <v>25</v>
      </c>
      <c r="J5" s="0" t="n">
        <f aca="false">I5+L5</f>
        <v>25025</v>
      </c>
      <c r="K5" s="0" t="n">
        <f aca="false">D5*5</f>
        <v>50</v>
      </c>
      <c r="L5" s="0" t="n">
        <v>25000</v>
      </c>
    </row>
    <row r="6" customFormat="false" ht="15" hidden="false" customHeight="false" outlineLevel="0" collapsed="false">
      <c r="A6" s="0" t="n">
        <v>2</v>
      </c>
      <c r="B6" s="0" t="n">
        <v>0</v>
      </c>
      <c r="C6" s="0" t="n">
        <v>0</v>
      </c>
      <c r="D6" s="0" t="n">
        <f aca="false">MAX(0,B6-C6)</f>
        <v>0</v>
      </c>
      <c r="E6" s="0" t="n">
        <f aca="false">IF(D6&gt;0,1,0)</f>
        <v>0</v>
      </c>
      <c r="F6" s="0" t="n">
        <v>2</v>
      </c>
      <c r="G6" s="0" t="n">
        <v>12.6</v>
      </c>
      <c r="H6" s="0" t="n">
        <f aca="false">F6*G6</f>
        <v>25.2</v>
      </c>
      <c r="I6" s="0" t="n">
        <f aca="false">IF(MOD(H6,1)=0.5,IF(MOD(INT(H6),2)=0,INT(H6),INT(H6)+1),ROUND(H6,0))</f>
        <v>25</v>
      </c>
      <c r="J6" s="0" t="n">
        <f aca="false">I6+L6</f>
        <v>25025</v>
      </c>
      <c r="K6" s="0" t="n">
        <f aca="false">D6*5</f>
        <v>0</v>
      </c>
      <c r="L6" s="0" t="n">
        <v>25000</v>
      </c>
    </row>
    <row r="7" customFormat="false" ht="15" hidden="false" customHeight="false" outlineLevel="0" collapsed="false">
      <c r="A7" s="0" t="n">
        <v>3</v>
      </c>
      <c r="B7" s="0" t="n">
        <v>0</v>
      </c>
      <c r="C7" s="0" t="n">
        <v>0</v>
      </c>
      <c r="D7" s="0" t="n">
        <f aca="false">MAX(0,B7-C7)</f>
        <v>0</v>
      </c>
      <c r="E7" s="0" t="n">
        <f aca="false">IF(D7&gt;0,1,0)</f>
        <v>0</v>
      </c>
      <c r="F7" s="0" t="n">
        <v>2</v>
      </c>
      <c r="G7" s="0" t="n">
        <v>12.6</v>
      </c>
      <c r="H7" s="0" t="n">
        <f aca="false">F7*G7</f>
        <v>25.2</v>
      </c>
      <c r="I7" s="0" t="n">
        <f aca="false">IF(MOD(H7,1)=0.5,IF(MOD(INT(H7),2)=0,INT(H7),INT(H7)+1),ROUND(H7,0))</f>
        <v>25</v>
      </c>
      <c r="J7" s="0" t="n">
        <f aca="false">I7+L7</f>
        <v>25025</v>
      </c>
      <c r="K7" s="0" t="n">
        <f aca="false">D7*5</f>
        <v>0</v>
      </c>
      <c r="L7" s="0" t="n">
        <v>25000</v>
      </c>
    </row>
    <row r="8" customFormat="false" ht="15" hidden="false" customHeight="false" outlineLevel="0" collapsed="false">
      <c r="A8" s="0" t="n">
        <v>4</v>
      </c>
      <c r="B8" s="0" t="n">
        <v>0</v>
      </c>
      <c r="C8" s="0" t="n">
        <v>0</v>
      </c>
      <c r="D8" s="0" t="n">
        <f aca="false">MAX(0,B8-C8)</f>
        <v>0</v>
      </c>
      <c r="E8" s="0" t="n">
        <f aca="false">IF(D8&gt;0,1,0)</f>
        <v>0</v>
      </c>
      <c r="F8" s="0" t="n">
        <v>2</v>
      </c>
      <c r="G8" s="0" t="n">
        <v>12.6</v>
      </c>
      <c r="H8" s="0" t="n">
        <f aca="false">F8*G8</f>
        <v>25.2</v>
      </c>
      <c r="I8" s="0" t="n">
        <f aca="false">IF(MOD(H8,1)=0.5,IF(MOD(INT(H8),2)=0,INT(H8),INT(H8)+1),ROUND(H8,0))</f>
        <v>25</v>
      </c>
      <c r="J8" s="0" t="n">
        <f aca="false">I8+L8</f>
        <v>25025</v>
      </c>
      <c r="K8" s="0" t="n">
        <f aca="false">D8*5</f>
        <v>0</v>
      </c>
      <c r="L8" s="0" t="n">
        <v>25000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42</v>
      </c>
      <c r="D9" s="0" t="s">
        <v>21</v>
      </c>
    </row>
    <row r="10" customFormat="false" ht="15" hidden="false" customHeight="false" outlineLevel="0" collapsed="false">
      <c r="A10" s="0" t="s">
        <v>43</v>
      </c>
      <c r="B10" s="0" t="n">
        <f aca="false">SUM(E5:E8)/COUNT(E5:E8)</f>
        <v>0.25</v>
      </c>
      <c r="C10" s="0" t="n">
        <v>0.25</v>
      </c>
      <c r="D10" s="0" t="str">
        <f aca="false">IF(B10=C10,"PASS","FAIL")</f>
        <v>PASS</v>
      </c>
    </row>
    <row r="11" customFormat="false" ht="15" hidden="false" customHeight="false" outlineLevel="0" collapsed="false">
      <c r="A11" s="0" t="s">
        <v>44</v>
      </c>
      <c r="B11" s="0" t="n">
        <f aca="false">SMALL(J5:J8,ROUNDUP(0.9*COUNT(J5:J8),0))</f>
        <v>25025</v>
      </c>
      <c r="C11" s="0" t="n">
        <v>25025</v>
      </c>
      <c r="D11" s="0" t="str">
        <f aca="false">IF(B11=C11,"PASS","FAIL")</f>
        <v>PASS</v>
      </c>
    </row>
    <row r="12" customFormat="false" ht="15" hidden="false" customHeight="false" outlineLevel="0" collapsed="false">
      <c r="A12" s="0" t="s">
        <v>45</v>
      </c>
      <c r="B12" s="0" t="n">
        <f aca="false">IF(MOD(AVERAGE(K5:K8),1)=0.5,IF(MOD(INT(AVERAGE(K5:K8)),2)=0,INT(AVERAGE(K5:K8)),INT(AVERAGE(K5:K8))+1),ROUND(AVERAGE(K5:K8),0))</f>
        <v>12</v>
      </c>
      <c r="C12" s="0" t="n">
        <v>12</v>
      </c>
      <c r="D12" s="0" t="str">
        <f aca="false">IF(B12=C12,"PASS","FAIL")</f>
        <v>PASS</v>
      </c>
    </row>
    <row r="13" customFormat="false" ht="15" hidden="false" customHeight="false" outlineLevel="0" collapsed="false">
      <c r="A13" s="0" t="s">
        <v>46</v>
      </c>
      <c r="B13" s="0" t="n">
        <f aca="false">I5</f>
        <v>25</v>
      </c>
      <c r="C13" s="0" t="n">
        <v>25</v>
      </c>
      <c r="D13" s="0" t="str">
        <f aca="false">IF(B13=C13,"PASS","FAIL")</f>
        <v>PASS</v>
      </c>
    </row>
    <row r="14" customFormat="false" ht="15" hidden="false" customHeight="false" outlineLevel="0" collapsed="false">
      <c r="A14" s="0" t="s">
        <v>47</v>
      </c>
      <c r="B14" s="0" t="n">
        <f aca="false">L5</f>
        <v>25000</v>
      </c>
      <c r="C14" s="0" t="n">
        <v>25000</v>
      </c>
      <c r="D14" s="0" t="str">
        <f aca="false">IF(B14=C14,"PASS","FAIL")</f>
        <v>PASS</v>
      </c>
    </row>
    <row r="15" customFormat="false" ht="15" hidden="false" customHeight="false" outlineLevel="0" collapsed="false">
      <c r="A15" s="0" t="s">
        <v>48</v>
      </c>
      <c r="B15" s="0" t="n">
        <f aca="false">B12+B13+B14</f>
        <v>25037</v>
      </c>
      <c r="C15" s="0" t="n">
        <v>25037</v>
      </c>
      <c r="D15" s="0" t="str">
        <f aca="false">IF(B15=C15,"PASS","FAIL")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2026-10-06T17:09:38Z</dcterms:created>
  <dc:creator>openpyxl</dc:creator>
  <dc:description/>
  <dc:language>en-US</dc:language>
  <cp:lastModifiedBy/>
  <dcterms:modified xsi:type="dcterms:W3CDTF">2026-10-06T17:09:38Z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