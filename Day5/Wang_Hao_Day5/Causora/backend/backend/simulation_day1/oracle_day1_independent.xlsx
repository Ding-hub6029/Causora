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ing oracle" sheetId="1" state="visible" r:id="rId3"/>
    <sheet name="Selection oracle" sheetId="2" state="visible" r:id="rId4"/>
    <sheet name="Proven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<sst xmlns="http://schemas.openxmlformats.org/spreadsheetml/2006/main" count="91" uniqueCount="64">
  <si>
    <t xml:space="preserve">INDEPENDENT DAY 1 ORACLE — illustrative cases, NOT 104-week results</t>
  </si>
  <si>
    <t xml:space="preserve">Prices A=12 USD, B=12.6 USD; uplift 0.14; fee 25000 once on D2 when locked. Expected column is a separately entered literal.</t>
  </si>
  <si>
    <t xml:space="preserve">Scenario</t>
  </si>
  <si>
    <t xml:space="preserve">Option</t>
  </si>
  <si>
    <t xml:space="preserve">A units</t>
  </si>
  <si>
    <t xml:space="preserve">B units</t>
  </si>
  <si>
    <t xml:space="preserve">A price</t>
  </si>
  <si>
    <t xml:space="preserve">B price</t>
  </si>
  <si>
    <t xml:space="preserve">A uplift</t>
  </si>
  <si>
    <t xml:space="preserve">Holding USD</t>
  </si>
  <si>
    <t xml:space="preserve">Lost-sales USD</t>
  </si>
  <si>
    <t xml:space="preserve">Exit flag</t>
  </si>
  <si>
    <t xml:space="preserve">Base purchase USD</t>
  </si>
  <si>
    <t xml:space="preserve">Premium USD</t>
  </si>
  <si>
    <t xml:space="preserve">Exit fee USD</t>
  </si>
  <si>
    <t xml:space="preserve">Formula TCO USD</t>
  </si>
  <si>
    <t xml:space="preserve">Expected USD (literal)</t>
  </si>
  <si>
    <t xml:space="preserve">Difference USD</t>
  </si>
  <si>
    <t xml:space="preserve">Notes</t>
  </si>
  <si>
    <t xml:space="preserve">tiny-base</t>
  </si>
  <si>
    <t xml:space="preserve">D0</t>
  </si>
  <si>
    <t xml:space="preserve">D0=100% A; 3000+420+50+30</t>
  </si>
  <si>
    <t xml:space="preserve">D1</t>
  </si>
  <si>
    <t xml:space="preserve">D1=60/40; 3060+252+20+10</t>
  </si>
  <si>
    <t xml:space="preserve">D2</t>
  </si>
  <si>
    <t xml:space="preserve">D2 exit; 3150+10+25000; no A premium</t>
  </si>
  <si>
    <t xml:space="preserve">demand-drop</t>
  </si>
  <si>
    <t xml:space="preserve">26k purchased vs 22100 realised: 3900 surplus; A floor 15600</t>
  </si>
  <si>
    <t xml:space="preserve">Mock D0 purchase quantity is a supplied aggregate, NOT derived from weekly policy</t>
  </si>
  <si>
    <t xml:space="preserve">EXTRA CHECK</t>
  </si>
  <si>
    <t xml:space="preserve">D1 demand-drop total units</t>
  </si>
  <si>
    <t xml:space="preserve">expected</t>
  </si>
  <si>
    <t xml:space="preserve">surplus</t>
  </si>
  <si>
    <t xml:space="preserve">A floor</t>
  </si>
  <si>
    <t xml:space="preserve">above rolling floor</t>
  </si>
  <si>
    <t xml:space="preserve">Boundary</t>
  </si>
  <si>
    <t xml:space="preserve">The 25,936 historical units do NOT independently imply a 26,000 locked forecast. Holding and loss inputs here are stipulated fixture values.</t>
  </si>
  <si>
    <t xml:space="preserve">Independent threshold examples; probabilities are fractions, TCO and cash are USD.</t>
  </si>
  <si>
    <t xml:space="preserve">Feasible</t>
  </si>
  <si>
    <t xml:space="preserve">Stockout prob</t>
  </si>
  <si>
    <t xml:space="preserve">P90 cash USD</t>
  </si>
  <si>
    <t xml:space="preserve">TCO USD</t>
  </si>
  <si>
    <t xml:space="preserve">Risk limit</t>
  </si>
  <si>
    <t xml:space="preserve">Cash ceiling</t>
  </si>
  <si>
    <t xml:space="preserve">Eligible?</t>
  </si>
  <si>
    <t xml:space="preserve">Expected scenario outcome (literal)</t>
  </si>
  <si>
    <t xml:space="preserve">no-feasible</t>
  </si>
  <si>
    <t xml:space="preserve">no_feasible_option</t>
  </si>
  <si>
    <t xml:space="preserve">Policy</t>
  </si>
  <si>
    <t xml:space="preserve">For each scenario: feasible ∩ risk&lt;=limit ∩ cash&lt;=ceiling; min(TCO, Option ID); if none, no_feasible_option.</t>
  </si>
  <si>
    <t xml:space="preserve">Source</t>
  </si>
  <si>
    <t xml:space="preserve">Causora-Day1-Delivery-v4.1(1).zip → causora/API_CONTRACT.md; lib/contracts.ts; demo_data/causora_day1_mock.json</t>
  </si>
  <si>
    <t xml:space="preserve">Original spec</t>
  </si>
  <si>
    <t xml:space="preserve">Causora.pdf pp. 7–10, 20–22; weekly model and Day 1/Day 2 boundary</t>
  </si>
  <si>
    <t xml:space="preserve">Independent</t>
  </si>
  <si>
    <t xml:space="preserve">This workbook is composed of human-set miniature cases, fixed literal expected results, and its own cell formulas. It does not import interfaces.py, simulation outputs or mock JSON to calculate expected.</t>
  </si>
  <si>
    <t xml:space="preserve">Trace</t>
  </si>
  <si>
    <t xml:space="preserve">purchase = A units*12 + B units*12.6; premium = A units*12*0.14; exit fee = 25000 only if D2 exits a locked renewal; TCO = sum five lines.</t>
  </si>
  <si>
    <t xml:space="preserve">Limit</t>
  </si>
  <si>
    <t xml:space="preserve">No Monte Carlo stockout/P90 oracle is asserted; illustrative risk/cash literals are only to check selection. No 104-week golden numbers are claimed.</t>
  </si>
  <si>
    <t xml:space="preserve">Rounding</t>
  </si>
  <si>
    <t xml:space="preserve">ROUND to whole USD per cost line; for these cases every premium and purchase is already whole USD, so tie-breaking does not matter.</t>
  </si>
  <si>
    <t xml:space="preserve">Future</t>
  </si>
  <si>
    <t xml:space="preserve">Check date/notice, time horizon vs renewal date, signed base prices, inventory policy, handling procurement floor and end-of-horizon arrivals with the team before extending oracle.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</si>
</sst>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3652"/>
        <bgColor rgb="FF003366"/>
      </patternFill>
    </fill>
    <fill>
      <patternFill patternType="solid">
        <fgColor rgb="FF2865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658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36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27"/>
    <col collapsed="false" customWidth="true" hidden="false" outlineLevel="0" max="17" min="17" style="0" width="77"/>
  </cols>
  <sheetData>
    <row r="1" customFormat="false" ht="27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n">
        <v>250</v>
      </c>
      <c r="D4" s="2" t="n">
        <v>0</v>
      </c>
      <c r="E4" s="2" t="n">
        <v>12</v>
      </c>
      <c r="F4" s="2" t="n">
        <v>12.6</v>
      </c>
      <c r="G4" s="2" t="n">
        <v>0.14</v>
      </c>
      <c r="H4" s="2" t="n">
        <v>50</v>
      </c>
      <c r="I4" s="2" t="n">
        <v>30</v>
      </c>
      <c r="J4" s="2" t="n">
        <v>0</v>
      </c>
      <c r="K4" s="2" t="n">
        <f aca="false">ROUND(C4*E4+D4*F4,0)</f>
        <v>3000</v>
      </c>
      <c r="L4" s="2" t="n">
        <f aca="false">ROUND(C4*E4*G4,0)</f>
        <v>420</v>
      </c>
      <c r="M4" s="2" t="n">
        <f aca="false">IF(J4=1,25000,0)</f>
        <v>0</v>
      </c>
      <c r="N4" s="2" t="n">
        <f aca="false">SUM(H4:I4,K4:M4)</f>
        <v>3500</v>
      </c>
      <c r="O4" s="2" t="n">
        <v>3500</v>
      </c>
      <c r="P4" s="2" t="n">
        <f aca="false">N4-O4</f>
        <v>0</v>
      </c>
      <c r="Q4" s="2" t="s">
        <v>21</v>
      </c>
    </row>
    <row r="5" customFormat="false" ht="15" hidden="false" customHeight="false" outlineLevel="0" collapsed="false">
      <c r="A5" s="2" t="s">
        <v>19</v>
      </c>
      <c r="B5" s="2" t="s">
        <v>22</v>
      </c>
      <c r="C5" s="2" t="n">
        <v>150</v>
      </c>
      <c r="D5" s="2" t="n">
        <v>100</v>
      </c>
      <c r="E5" s="2" t="n">
        <v>12</v>
      </c>
      <c r="F5" s="2" t="n">
        <v>12.6</v>
      </c>
      <c r="G5" s="2" t="n">
        <v>0.14</v>
      </c>
      <c r="H5" s="2" t="n">
        <v>20</v>
      </c>
      <c r="I5" s="2" t="n">
        <v>10</v>
      </c>
      <c r="J5" s="2" t="n">
        <v>0</v>
      </c>
      <c r="K5" s="2" t="n">
        <f aca="false">ROUND(C5*E5+D5*F5,0)</f>
        <v>3060</v>
      </c>
      <c r="L5" s="2" t="n">
        <f aca="false">ROUND(C5*E5*G5,0)</f>
        <v>252</v>
      </c>
      <c r="M5" s="2" t="n">
        <f aca="false">IF(J5=1,25000,0)</f>
        <v>0</v>
      </c>
      <c r="N5" s="2" t="n">
        <f aca="false">SUM(H5:I5,K5:M5)</f>
        <v>3342</v>
      </c>
      <c r="O5" s="2" t="n">
        <v>3342</v>
      </c>
      <c r="P5" s="2" t="n">
        <f aca="false">N5-O5</f>
        <v>0</v>
      </c>
      <c r="Q5" s="2" t="s">
        <v>23</v>
      </c>
    </row>
    <row r="6" customFormat="false" ht="15" hidden="false" customHeight="false" outlineLevel="0" collapsed="false">
      <c r="A6" s="2" t="s">
        <v>19</v>
      </c>
      <c r="B6" s="2" t="s">
        <v>24</v>
      </c>
      <c r="C6" s="2" t="n">
        <v>0</v>
      </c>
      <c r="D6" s="2" t="n">
        <v>250</v>
      </c>
      <c r="E6" s="2" t="n">
        <v>12</v>
      </c>
      <c r="F6" s="2" t="n">
        <v>12.6</v>
      </c>
      <c r="G6" s="2" t="n">
        <v>0.14</v>
      </c>
      <c r="H6" s="2" t="n">
        <v>10</v>
      </c>
      <c r="I6" s="2" t="n">
        <v>0</v>
      </c>
      <c r="J6" s="2" t="n">
        <v>1</v>
      </c>
      <c r="K6" s="2" t="n">
        <f aca="false">ROUND(C6*E6+D6*F6,0)</f>
        <v>3150</v>
      </c>
      <c r="L6" s="2" t="n">
        <f aca="false">ROUND(C6*E6*G6,0)</f>
        <v>0</v>
      </c>
      <c r="M6" s="2" t="n">
        <f aca="false">IF(J6=1,25000,0)</f>
        <v>25000</v>
      </c>
      <c r="N6" s="2" t="n">
        <f aca="false">SUM(H6:I6,K6:M6)</f>
        <v>28160</v>
      </c>
      <c r="O6" s="2" t="n">
        <v>28160</v>
      </c>
      <c r="P6" s="2" t="n">
        <f aca="false">N6-O6</f>
        <v>0</v>
      </c>
      <c r="Q6" s="2" t="s">
        <v>25</v>
      </c>
    </row>
    <row r="7" customFormat="false" ht="15" hidden="false" customHeight="false" outlineLevel="0" collapsed="false">
      <c r="A7" s="2" t="s">
        <v>26</v>
      </c>
      <c r="B7" s="2" t="s">
        <v>22</v>
      </c>
      <c r="C7" s="2" t="n">
        <v>15600</v>
      </c>
      <c r="D7" s="2" t="n">
        <v>10400</v>
      </c>
      <c r="E7" s="2" t="n">
        <v>12</v>
      </c>
      <c r="F7" s="2" t="n">
        <v>12.6</v>
      </c>
      <c r="G7" s="2" t="n">
        <v>0.14</v>
      </c>
      <c r="H7" s="2" t="n">
        <v>48000</v>
      </c>
      <c r="I7" s="2" t="n">
        <v>26552</v>
      </c>
      <c r="J7" s="2" t="n">
        <v>0</v>
      </c>
      <c r="K7" s="2" t="n">
        <f aca="false">ROUND(C7*E7+D7*F7,0)</f>
        <v>318240</v>
      </c>
      <c r="L7" s="2" t="n">
        <f aca="false">ROUND(C7*E7*G7,0)</f>
        <v>26208</v>
      </c>
      <c r="M7" s="2" t="n">
        <f aca="false">IF(J7=1,25000,0)</f>
        <v>0</v>
      </c>
      <c r="N7" s="2" t="n">
        <f aca="false">SUM(H7:I7,K7:M7)</f>
        <v>419000</v>
      </c>
      <c r="O7" s="2" t="n">
        <v>419000</v>
      </c>
      <c r="P7" s="2" t="n">
        <f aca="false">N7-O7</f>
        <v>0</v>
      </c>
      <c r="Q7" s="2" t="s">
        <v>27</v>
      </c>
    </row>
    <row r="8" customFormat="false" ht="15" hidden="false" customHeight="false" outlineLevel="0" collapsed="false">
      <c r="A8" s="2" t="s">
        <v>26</v>
      </c>
      <c r="B8" s="2" t="s">
        <v>20</v>
      </c>
      <c r="C8" s="2" t="n">
        <v>24500</v>
      </c>
      <c r="D8" s="2" t="n">
        <v>0</v>
      </c>
      <c r="E8" s="2" t="n">
        <v>12</v>
      </c>
      <c r="F8" s="2" t="n">
        <v>12.6</v>
      </c>
      <c r="G8" s="2" t="n">
        <v>0.14</v>
      </c>
      <c r="H8" s="2" t="n">
        <v>76000</v>
      </c>
      <c r="I8" s="2" t="n">
        <v>26840</v>
      </c>
      <c r="J8" s="2" t="n">
        <v>0</v>
      </c>
      <c r="K8" s="2" t="n">
        <f aca="false">ROUND(C8*E8+D8*F8,0)</f>
        <v>294000</v>
      </c>
      <c r="L8" s="2" t="n">
        <f aca="false">ROUND(C8*E8*G8,0)</f>
        <v>41160</v>
      </c>
      <c r="M8" s="2" t="n">
        <f aca="false">IF(J8=1,25000,0)</f>
        <v>0</v>
      </c>
      <c r="N8" s="2" t="n">
        <f aca="false">SUM(H8:I8,K8:M8)</f>
        <v>438000</v>
      </c>
      <c r="O8" s="2" t="n">
        <v>438000</v>
      </c>
      <c r="P8" s="2" t="n">
        <f aca="false">N8-O8</f>
        <v>0</v>
      </c>
      <c r="Q8" s="2" t="s">
        <v>28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2" t="s">
        <v>29</v>
      </c>
      <c r="B10" s="2" t="s">
        <v>30</v>
      </c>
      <c r="C10" s="2" t="n">
        <f aca="false">C7+D7</f>
        <v>26000</v>
      </c>
      <c r="D10" s="2" t="s">
        <v>31</v>
      </c>
      <c r="E10" s="2" t="n">
        <v>26000</v>
      </c>
      <c r="F10" s="2" t="s">
        <v>32</v>
      </c>
      <c r="G10" s="2" t="n">
        <f aca="false">C7+D7-22100</f>
        <v>3900</v>
      </c>
      <c r="H10" s="2" t="s">
        <v>31</v>
      </c>
      <c r="I10" s="2" t="n">
        <v>3900</v>
      </c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false" outlineLevel="0" collapsed="false">
      <c r="A11" s="2" t="s">
        <v>29</v>
      </c>
      <c r="B11" s="2" t="s">
        <v>33</v>
      </c>
      <c r="C11" s="2" t="n">
        <f aca="false">26000*0.6</f>
        <v>15600</v>
      </c>
      <c r="D11" s="2" t="s">
        <v>31</v>
      </c>
      <c r="E11" s="2" t="n">
        <v>15600</v>
      </c>
      <c r="F11" s="2" t="s">
        <v>34</v>
      </c>
      <c r="G11" s="2" t="n">
        <f aca="false">C7-22100*0.6</f>
        <v>2340</v>
      </c>
      <c r="H11" s="2" t="s">
        <v>31</v>
      </c>
      <c r="I11" s="2" t="n">
        <v>2340</v>
      </c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 t="s">
        <v>35</v>
      </c>
      <c r="B12" s="2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9" min="1" style="0" width="27"/>
    <col collapsed="false" customWidth="true" hidden="false" outlineLevel="0" max="10" min="10" style="0" width="35"/>
  </cols>
  <sheetData>
    <row r="1" customFormat="false" ht="27" hidden="false" customHeight="true" outlineLevel="0" collapsed="false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</row>
    <row r="3" customFormat="false" ht="15" hidden="false" customHeight="false" outlineLevel="0" collapsed="false">
      <c r="A3" s="2" t="s">
        <v>19</v>
      </c>
      <c r="B3" s="2" t="s">
        <v>20</v>
      </c>
      <c r="C3" s="4" t="b">
        <f aca="false">TRUE()</f>
        <v>1</v>
      </c>
      <c r="D3" s="2" t="n">
        <v>0.09</v>
      </c>
      <c r="E3" s="2" t="n">
        <v>3600</v>
      </c>
      <c r="F3" s="2" t="n">
        <v>3500</v>
      </c>
      <c r="G3" s="2" t="n">
        <v>0.12</v>
      </c>
      <c r="H3" s="2" t="n">
        <v>4000</v>
      </c>
      <c r="I3" s="4" t="b">
        <f aca="false">AND(C3,D3&lt;=G3,E3&lt;=H3)</f>
        <v>1</v>
      </c>
      <c r="J3" s="2" t="s">
        <v>22</v>
      </c>
    </row>
    <row r="4" customFormat="false" ht="15" hidden="false" customHeight="false" outlineLevel="0" collapsed="false">
      <c r="A4" s="2" t="s">
        <v>19</v>
      </c>
      <c r="B4" s="2" t="s">
        <v>22</v>
      </c>
      <c r="C4" s="4" t="b">
        <f aca="false">TRUE()</f>
        <v>1</v>
      </c>
      <c r="D4" s="2" t="n">
        <v>0.05</v>
      </c>
      <c r="E4" s="2" t="n">
        <v>3500</v>
      </c>
      <c r="F4" s="2" t="n">
        <v>3342</v>
      </c>
      <c r="G4" s="2" t="n">
        <v>0.12</v>
      </c>
      <c r="H4" s="2" t="n">
        <v>4000</v>
      </c>
      <c r="I4" s="4" t="b">
        <f aca="false">AND(C4,D4&lt;=G4,E4&lt;=H4)</f>
        <v>1</v>
      </c>
      <c r="J4" s="2" t="s">
        <v>22</v>
      </c>
    </row>
    <row r="5" customFormat="false" ht="15" hidden="false" customHeight="false" outlineLevel="0" collapsed="false">
      <c r="A5" s="2" t="s">
        <v>19</v>
      </c>
      <c r="B5" s="2" t="s">
        <v>24</v>
      </c>
      <c r="C5" s="4" t="b">
        <f aca="false">TRUE()</f>
        <v>1</v>
      </c>
      <c r="D5" s="2" t="n">
        <v>0.03</v>
      </c>
      <c r="E5" s="2" t="n">
        <v>29000</v>
      </c>
      <c r="F5" s="2" t="n">
        <v>28160</v>
      </c>
      <c r="G5" s="2" t="n">
        <v>0.12</v>
      </c>
      <c r="H5" s="2" t="n">
        <v>4000</v>
      </c>
      <c r="I5" s="4" t="b">
        <f aca="false">AND(C5,D5&lt;=G5,E5&lt;=H5)</f>
        <v>0</v>
      </c>
      <c r="J5" s="2" t="s">
        <v>22</v>
      </c>
    </row>
    <row r="6" customFormat="false" ht="15" hidden="false" customHeight="false" outlineLevel="0" collapsed="false">
      <c r="A6" s="2" t="s">
        <v>46</v>
      </c>
      <c r="B6" s="2" t="s">
        <v>20</v>
      </c>
      <c r="C6" s="4" t="b">
        <f aca="false">TRUE()</f>
        <v>1</v>
      </c>
      <c r="D6" s="2" t="n">
        <v>0.09</v>
      </c>
      <c r="E6" s="2" t="n">
        <v>3600</v>
      </c>
      <c r="F6" s="2" t="n">
        <v>3500</v>
      </c>
      <c r="G6" s="2" t="n">
        <v>0.01</v>
      </c>
      <c r="H6" s="2" t="n">
        <v>4000</v>
      </c>
      <c r="I6" s="4" t="b">
        <f aca="false">AND(C6,D6&lt;=G6,E6&lt;=H6)</f>
        <v>0</v>
      </c>
      <c r="J6" s="2" t="s">
        <v>47</v>
      </c>
    </row>
    <row r="7" customFormat="false" ht="15" hidden="false" customHeight="false" outlineLevel="0" collapsed="false">
      <c r="A7" s="2" t="s">
        <v>46</v>
      </c>
      <c r="B7" s="2" t="s">
        <v>22</v>
      </c>
      <c r="C7" s="4" t="b">
        <f aca="false">TRUE()</f>
        <v>1</v>
      </c>
      <c r="D7" s="2" t="n">
        <v>0.05</v>
      </c>
      <c r="E7" s="2" t="n">
        <v>3500</v>
      </c>
      <c r="F7" s="2" t="n">
        <v>3342</v>
      </c>
      <c r="G7" s="2" t="n">
        <v>0.01</v>
      </c>
      <c r="H7" s="2" t="n">
        <v>4000</v>
      </c>
      <c r="I7" s="4" t="b">
        <f aca="false">AND(C7,D7&lt;=G7,E7&lt;=H7)</f>
        <v>0</v>
      </c>
      <c r="J7" s="2" t="s">
        <v>47</v>
      </c>
    </row>
    <row r="8" customFormat="false" ht="15" hidden="false" customHeight="false" outlineLevel="0" collapsed="false">
      <c r="A8" s="2" t="s">
        <v>46</v>
      </c>
      <c r="B8" s="2" t="s">
        <v>24</v>
      </c>
      <c r="C8" s="4" t="b">
        <f aca="false">TRUE()</f>
        <v>1</v>
      </c>
      <c r="D8" s="2" t="n">
        <v>0.03</v>
      </c>
      <c r="E8" s="2" t="n">
        <v>29000</v>
      </c>
      <c r="F8" s="2" t="n">
        <v>28160</v>
      </c>
      <c r="G8" s="2" t="n">
        <v>0.01</v>
      </c>
      <c r="H8" s="2" t="n">
        <v>4000</v>
      </c>
      <c r="I8" s="4" t="b">
        <f aca="false">AND(C8,D8&lt;=G8,E8&lt;=H8)</f>
        <v>0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/>
      <c r="D9" s="2"/>
      <c r="E9" s="2"/>
      <c r="F9" s="2"/>
      <c r="G9" s="2"/>
      <c r="H9" s="2"/>
      <c r="I9" s="2"/>
      <c r="J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6"/>
  </cols>
  <sheetData>
    <row r="1" customFormat="false" ht="27" hidden="false" customHeight="true" outlineLevel="0" collapsed="false">
      <c r="A1" s="1" t="s">
        <v>50</v>
      </c>
      <c r="B1" s="2" t="s">
        <v>51</v>
      </c>
    </row>
    <row r="2" customFormat="false" ht="15" hidden="false" customHeight="false" outlineLevel="0" collapsed="false">
      <c r="A2" s="2" t="s">
        <v>52</v>
      </c>
      <c r="B2" s="2" t="s">
        <v>53</v>
      </c>
    </row>
    <row r="3" customFormat="false" ht="15" hidden="false" customHeight="false" outlineLevel="0" collapsed="false">
      <c r="A3" s="2" t="s">
        <v>54</v>
      </c>
      <c r="B3" s="2" t="s">
        <v>55</v>
      </c>
    </row>
    <row r="4" customFormat="false" ht="15" hidden="false" customHeight="false" outlineLevel="0" collapsed="false">
      <c r="A4" s="2" t="s">
        <v>56</v>
      </c>
      <c r="B4" s="2" t="s">
        <v>57</v>
      </c>
    </row>
    <row r="5" customFormat="false" ht="15" hidden="false" customHeight="false" outlineLevel="0" collapsed="false">
      <c r="A5" s="2" t="s">
        <v>58</v>
      </c>
      <c r="B5" s="2" t="s">
        <v>59</v>
      </c>
    </row>
    <row r="6" customFormat="false" ht="15" hidden="false" customHeight="false" outlineLevel="0" collapsed="false">
      <c r="A6" s="2" t="s">
        <v>60</v>
      </c>
      <c r="B6" s="2" t="s">
        <v>61</v>
      </c>
    </row>
    <row r="7" customFormat="false" ht="15" hidden="false" customHeight="false" outlineLevel="0" collapsed="false">
      <c r="A7" s="2" t="s">
        <v>62</v>
      </c>
      <c r="B7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2026-10-05T06:00:23Z</dcterms:created>
  <dc:creator>openpyxl</dc:creator>
  <dc:description/>
  <dc:language>en-US</dc:language>
  <cp:lastModifiedBy/>
  <dcterms:modified xsi:type="dcterms:W3CDTF">2026-10-05T06:00:23Z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